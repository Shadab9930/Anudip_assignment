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D57CA45A-74F0-4B4B-9AAB-F83EB732A72F}" xr6:coauthVersionLast="37" xr6:coauthVersionMax="37" xr10:uidLastSave="{00000000-0000-0000-0000-000000000000}"/>
  <bookViews>
    <workbookView xWindow="0" yWindow="0" windowWidth="16770" windowHeight="7890" xr2:uid="{00000000-000D-0000-FFFF-FFFF00000000}"/>
  </bookViews>
  <sheets>
    <sheet name="IF_Exercises" sheetId="1" r:id="rId1"/>
  </sheets>
  <calcPr calcId="179021"/>
</workbook>
</file>

<file path=xl/calcChain.xml><?xml version="1.0" encoding="utf-8"?>
<calcChain xmlns="http://schemas.openxmlformats.org/spreadsheetml/2006/main">
  <c r="F4" i="1" l="1"/>
  <c r="M5" i="1"/>
  <c r="M6" i="1"/>
  <c r="M7" i="1"/>
  <c r="M8" i="1"/>
  <c r="M9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L5" i="1" s="1"/>
  <c r="I6" i="1"/>
  <c r="L6" i="1" s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M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<sst xmlns="http://schemas.openxmlformats.org/spreadsheetml/2006/main" count="34" uniqueCount="31">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</sst>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B1" workbookViewId="0">
      <selection activeCell="F4" sqref="F4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25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t="str">
        <f>IF(C4&gt;=D4,"Achieved","Not Achieved")</f>
        <v>Achieved</v>
      </c>
      <c r="G4" t="str">
        <f>IF(AND(E4="Electronics",C4&gt;300),"Yes","No")</f>
        <v>Yes</v>
      </c>
      <c r="H4">
        <f>IF(C4&gt;=300,12%,IF(C4&gt;=200,8%,5%))</f>
        <v>0.12</v>
      </c>
      <c r="I4">
        <f>IF(C4&gt;=D4,C4*10%,C4*5%)</f>
        <v>32</v>
      </c>
      <c r="J4" t="str">
        <f>IF(C4&gt;=300,"Excellent",IF(C4&gt;=200,"Good","Average"))</f>
        <v>Excellent</v>
      </c>
      <c r="K4" t="str">
        <f>IF(C4&gt;300,"High",IF(C4&gt;=150,"Medium","Low"))</f>
        <v>High</v>
      </c>
      <c r="L4">
        <f>C4*12+I4</f>
        <v>3872</v>
      </c>
      <c r="M4" t="str">
        <f>IF(AND(C4&gt;=300,F4="Achieved"),"Yes","No")</f>
        <v>Yes</v>
      </c>
    </row>
    <row r="5" spans="1:13" x14ac:dyDescent="0.25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t="str">
        <f t="shared" ref="F5:F9" si="0">IF(C5&gt;=D5,"Achieved","Not Achieved")</f>
        <v>Not Achieved</v>
      </c>
      <c r="G5" t="str">
        <f t="shared" ref="G5:G9" si="1">IF(AND(E5="Electronics",C5&gt;300),"Yes","No")</f>
        <v>No</v>
      </c>
      <c r="H5">
        <f t="shared" ref="H5:H9" si="2">IF(C5&gt;=300,12%,IF(C5&gt;=200,8%,5%))</f>
        <v>0.05</v>
      </c>
      <c r="I5">
        <f t="shared" ref="I5:I9" si="3">IF(C5&gt;=D5,C5*10%,C5*5%)</f>
        <v>9</v>
      </c>
      <c r="J5" t="str">
        <f t="shared" ref="J5:J9" si="4">IF(C5&gt;=300,"Excellent",IF(C5&gt;=200,"Good","Average"))</f>
        <v>Average</v>
      </c>
      <c r="K5" t="str">
        <f t="shared" ref="K5:K9" si="5">IF(C5&gt;300,"High",IF(C5&gt;=150,"Medium","Low"))</f>
        <v>Medium</v>
      </c>
      <c r="L5">
        <f t="shared" ref="L5:L9" si="6">C5*12+I5</f>
        <v>2169</v>
      </c>
      <c r="M5" t="str">
        <f t="shared" ref="M5:M9" si="7">IF(AND(C5&gt;=300,F5="Achieved"),"Yes","No")</f>
        <v>No</v>
      </c>
    </row>
    <row r="6" spans="1:13" x14ac:dyDescent="0.25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t="str">
        <f t="shared" si="0"/>
        <v>Achieved</v>
      </c>
      <c r="G6" t="str">
        <f t="shared" si="1"/>
        <v>No</v>
      </c>
      <c r="H6">
        <f t="shared" si="2"/>
        <v>0.08</v>
      </c>
      <c r="I6">
        <f t="shared" si="3"/>
        <v>26</v>
      </c>
      <c r="J6" t="str">
        <f t="shared" si="4"/>
        <v>Good</v>
      </c>
      <c r="K6" t="str">
        <f t="shared" si="5"/>
        <v>Medium</v>
      </c>
      <c r="L6">
        <f t="shared" si="6"/>
        <v>3146</v>
      </c>
      <c r="M6" t="str">
        <f t="shared" si="7"/>
        <v>No</v>
      </c>
    </row>
    <row r="7" spans="1:13" x14ac:dyDescent="0.25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t="str">
        <f t="shared" si="0"/>
        <v>Not Achieved</v>
      </c>
      <c r="G7" t="str">
        <f t="shared" si="1"/>
        <v>No</v>
      </c>
      <c r="H7">
        <f t="shared" si="2"/>
        <v>0.05</v>
      </c>
      <c r="I7">
        <f t="shared" si="3"/>
        <v>4.5</v>
      </c>
      <c r="J7" t="str">
        <f t="shared" si="4"/>
        <v>Average</v>
      </c>
      <c r="K7" t="str">
        <f t="shared" si="5"/>
        <v>Low</v>
      </c>
      <c r="L7">
        <f t="shared" si="6"/>
        <v>1084.5</v>
      </c>
      <c r="M7" t="str">
        <f t="shared" si="7"/>
        <v>No</v>
      </c>
    </row>
    <row r="8" spans="1:13" x14ac:dyDescent="0.25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t="str">
        <f t="shared" si="0"/>
        <v>Achieved</v>
      </c>
      <c r="G8" t="str">
        <f t="shared" si="1"/>
        <v>No</v>
      </c>
      <c r="H8">
        <f t="shared" si="2"/>
        <v>0.12</v>
      </c>
      <c r="I8">
        <f t="shared" si="3"/>
        <v>40</v>
      </c>
      <c r="J8" t="str">
        <f t="shared" si="4"/>
        <v>Excellent</v>
      </c>
      <c r="K8" t="str">
        <f t="shared" si="5"/>
        <v>High</v>
      </c>
      <c r="L8">
        <f t="shared" si="6"/>
        <v>4840</v>
      </c>
      <c r="M8" t="str">
        <f t="shared" si="7"/>
        <v>Yes</v>
      </c>
    </row>
    <row r="9" spans="1:13" x14ac:dyDescent="0.25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t="str">
        <f t="shared" si="0"/>
        <v>Achieved</v>
      </c>
      <c r="G9" t="str">
        <f t="shared" si="1"/>
        <v>No</v>
      </c>
      <c r="H9">
        <f t="shared" si="2"/>
        <v>0.05</v>
      </c>
      <c r="I9">
        <f t="shared" si="3"/>
        <v>15</v>
      </c>
      <c r="J9" t="str">
        <f t="shared" si="4"/>
        <v>Average</v>
      </c>
      <c r="K9" t="str">
        <f t="shared" si="5"/>
        <v>Medium</v>
      </c>
      <c r="L9">
        <f t="shared" si="6"/>
        <v>1815</v>
      </c>
      <c r="M9" t="str">
        <f t="shared" si="7"/>
        <v>No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5" t="s">
        <v>24</v>
      </c>
      <c r="B13" s="5"/>
      <c r="C13" s="5"/>
      <c r="D13" s="5"/>
      <c r="E13" s="5"/>
      <c r="F13" s="5"/>
      <c r="G13" s="5"/>
    </row>
    <row r="14" spans="1:13" ht="87" customHeight="1" x14ac:dyDescent="0.25">
      <c r="A14" s="5" t="s">
        <v>25</v>
      </c>
      <c r="B14" s="5"/>
      <c r="C14" s="5"/>
      <c r="D14" s="5"/>
      <c r="E14" s="5"/>
      <c r="F14" s="5"/>
      <c r="G14" s="5"/>
    </row>
    <row r="15" spans="1:13" ht="65.45" customHeight="1" x14ac:dyDescent="0.25">
      <c r="A15" s="5" t="s">
        <v>26</v>
      </c>
      <c r="B15" s="5"/>
      <c r="C15" s="5"/>
      <c r="D15" s="5"/>
      <c r="E15" s="5"/>
      <c r="F15" s="5"/>
      <c r="G15" s="5"/>
    </row>
    <row r="16" spans="1:13" ht="104.1" customHeight="1" x14ac:dyDescent="0.25">
      <c r="A16" s="5" t="s">
        <v>27</v>
      </c>
      <c r="B16" s="5"/>
      <c r="C16" s="5"/>
      <c r="D16" s="5"/>
      <c r="E16" s="5"/>
      <c r="F16" s="5"/>
      <c r="G16" s="5"/>
    </row>
    <row r="17" spans="1:7" ht="90.6" customHeight="1" x14ac:dyDescent="0.25">
      <c r="A17" s="5" t="s">
        <v>28</v>
      </c>
      <c r="B17" s="5"/>
      <c r="C17" s="5"/>
      <c r="D17" s="5"/>
      <c r="E17" s="5"/>
      <c r="F17" s="5"/>
      <c r="G17" s="5"/>
    </row>
    <row r="18" spans="1:7" ht="63.95" customHeight="1" x14ac:dyDescent="0.25">
      <c r="A18" s="5" t="s">
        <v>29</v>
      </c>
      <c r="B18" s="5"/>
      <c r="C18" s="5"/>
      <c r="D18" s="5"/>
      <c r="E18" s="5"/>
      <c r="F18" s="5"/>
      <c r="G18" s="5"/>
    </row>
    <row r="19" spans="1:7" ht="87" customHeight="1" x14ac:dyDescent="0.25">
      <c r="A19" s="5" t="s">
        <v>30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2026-05-21T04:22:38Z</dcterms:created>
  <dcterms:modified xsi:type="dcterms:W3CDTF">2026-05-21T07:46:05Z</dcterms:modified>
</cp:coreProperties>
</file>