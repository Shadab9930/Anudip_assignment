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88B646A3-8CD6-4992-B5D5-98945E3161BD}" xr6:coauthVersionLast="37" xr6:coauthVersionMax="37" xr10:uidLastSave="{00000000-0000-0000-0000-000000000000}"/>
  <bookViews>
    <workbookView xWindow="0" yWindow="0" windowWidth="16770" windowHeight="7890" xr2:uid="{00000000-000D-0000-FFFF-FFFF00000000}"/>
  </bookViews>
  <sheets>
    <sheet name="SalesData" sheetId="1" r:id="rId1"/>
  </sheets>
  <calcPr calcId="17902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2" i="1"/>
  <c r="I3" i="1"/>
  <c r="I4" i="1"/>
  <c r="I5" i="1"/>
  <c r="I6" i="1"/>
  <c r="I7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<sst xmlns="http://schemas.openxmlformats.org/spreadsheetml/2006/main" count="33" uniqueCount="31">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</sst>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2" fontId="0" fillId="0" borderId="0" xfId="1" applyNumberFormat="1" applyFont="1"/>
    <xf numFmtId="0" fontId="0" fillId="0" borderId="0" xfId="1" applyNumberFormat="1" applyFont="1"/>
    <xf numFmtId="17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N4" sqref="N4"/>
    </sheetView>
  </sheetViews>
  <sheetFormatPr defaultRowHeight="15" x14ac:dyDescent="0.25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5" customWidth="1"/>
    <col min="8" max="8" width="18" customWidth="1"/>
    <col min="9" max="9" width="15" customWidth="1"/>
    <col min="10" max="10" width="18.7109375" customWidth="1"/>
    <col min="11" max="11" width="9.85546875" customWidth="1"/>
    <col min="12" max="12" width="15.7109375" customWidth="1"/>
    <col min="13" max="13" width="13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101</v>
      </c>
      <c r="B2" t="s">
        <v>13</v>
      </c>
      <c r="C2">
        <v>120</v>
      </c>
      <c r="D2">
        <v>150</v>
      </c>
      <c r="E2" t="s">
        <v>14</v>
      </c>
      <c r="F2" t="str">
        <f>IF(C2&gt;=D2,"YES","NO")</f>
        <v>NO</v>
      </c>
      <c r="G2" t="str">
        <f>IF(AND(E2="North",C2&gt;200),"eligible","noteligible")</f>
        <v>noteligible</v>
      </c>
      <c r="H2" s="5">
        <f>IF(C2&gt;=200,10%,IF(C2&gt;=150,7%,5%))</f>
        <v>0.05</v>
      </c>
      <c r="I2">
        <f>IF(C2&gt;=D2,C2*10%,C2*5%)</f>
        <v>6</v>
      </c>
      <c r="J2" t="str">
        <f>IF(C2&gt;=200,"excellent",IF(C2&gt;=150,"good","need improvement"))</f>
        <v>need improvement</v>
      </c>
      <c r="K2" t="str">
        <f>IF(C2&gt;200,"high",IF(C2&gt;=100,"medium","low "))</f>
        <v>medium</v>
      </c>
      <c r="L2" s="6">
        <f>IF(AND(C2&gt;=150,E2="North"),500,300)</f>
        <v>300</v>
      </c>
      <c r="M2" t="str">
        <f>IF(C2&gt;=PERCENTILE($C$2:$C$7,0.75),"YES","NO")</f>
        <v>NO</v>
      </c>
    </row>
    <row r="3" spans="1:13" x14ac:dyDescent="0.25">
      <c r="A3">
        <v>102</v>
      </c>
      <c r="B3" t="s">
        <v>15</v>
      </c>
      <c r="C3">
        <v>150</v>
      </c>
      <c r="D3">
        <v>140</v>
      </c>
      <c r="E3" t="s">
        <v>16</v>
      </c>
      <c r="F3" t="str">
        <f t="shared" ref="F3:F7" si="0">IF(C3&gt;=D3,"YES","NO")</f>
        <v>YES</v>
      </c>
      <c r="G3" t="str">
        <f t="shared" ref="G3:G7" si="1">IF(AND(E3="North",C3&gt;200),"eligible","noteligible")</f>
        <v>noteligible</v>
      </c>
      <c r="H3" s="4">
        <f t="shared" ref="H3:H7" si="2">IF(C3&gt;=200,10%,IF(C3&gt;=150,7%,5%))</f>
        <v>7.0000000000000007E-2</v>
      </c>
      <c r="I3">
        <f t="shared" ref="I3:I7" si="3">IF(C3&gt;=D3,C3*10%,C3*5%)</f>
        <v>15</v>
      </c>
      <c r="J3" t="str">
        <f t="shared" ref="J3:J7" si="4">IF(C3&gt;=200,"excellent",IF(C3&gt;=150,"good","need improvement"))</f>
        <v>good</v>
      </c>
      <c r="K3" t="str">
        <f t="shared" ref="K3:K7" si="5">IF(C3&gt;200,"high",IF(C3&gt;=100,"medium","low "))</f>
        <v>medium</v>
      </c>
      <c r="L3" s="6">
        <f t="shared" ref="L3:L7" si="6">IF(AND(C3&gt;=150,E3="North"),500,300)</f>
        <v>300</v>
      </c>
      <c r="M3" t="str">
        <f t="shared" ref="M3:M7" si="7">IF(C3&gt;=PERCENTILE($C$2:$C$7,0.75),"YES","NO")</f>
        <v>NO</v>
      </c>
    </row>
    <row r="4" spans="1:13" x14ac:dyDescent="0.25">
      <c r="A4">
        <v>103</v>
      </c>
      <c r="B4" t="s">
        <v>17</v>
      </c>
      <c r="C4">
        <v>200</v>
      </c>
      <c r="D4">
        <v>200</v>
      </c>
      <c r="E4" t="s">
        <v>18</v>
      </c>
      <c r="F4" t="str">
        <f t="shared" si="0"/>
        <v>YES</v>
      </c>
      <c r="G4" t="str">
        <f t="shared" si="1"/>
        <v>noteligible</v>
      </c>
      <c r="H4" s="4">
        <f t="shared" si="2"/>
        <v>0.1</v>
      </c>
      <c r="I4">
        <f t="shared" si="3"/>
        <v>20</v>
      </c>
      <c r="J4" t="str">
        <f t="shared" si="4"/>
        <v>excellent</v>
      </c>
      <c r="K4" t="str">
        <f t="shared" si="5"/>
        <v>medium</v>
      </c>
      <c r="L4" s="6">
        <f t="shared" si="6"/>
        <v>300</v>
      </c>
      <c r="M4" t="str">
        <f t="shared" si="7"/>
        <v>YES</v>
      </c>
    </row>
    <row r="5" spans="1:13" x14ac:dyDescent="0.25">
      <c r="A5">
        <v>104</v>
      </c>
      <c r="B5" t="s">
        <v>19</v>
      </c>
      <c r="C5">
        <v>90</v>
      </c>
      <c r="D5">
        <v>100</v>
      </c>
      <c r="E5" t="s">
        <v>20</v>
      </c>
      <c r="F5" t="str">
        <f t="shared" si="0"/>
        <v>NO</v>
      </c>
      <c r="G5" t="str">
        <f t="shared" si="1"/>
        <v>noteligible</v>
      </c>
      <c r="H5" s="4">
        <f t="shared" si="2"/>
        <v>0.05</v>
      </c>
      <c r="I5">
        <f t="shared" si="3"/>
        <v>4.5</v>
      </c>
      <c r="J5" t="str">
        <f t="shared" si="4"/>
        <v>need improvement</v>
      </c>
      <c r="K5" t="str">
        <f t="shared" si="5"/>
        <v xml:space="preserve">low </v>
      </c>
      <c r="L5" s="6">
        <f t="shared" si="6"/>
        <v>300</v>
      </c>
      <c r="M5" t="str">
        <f t="shared" si="7"/>
        <v>NO</v>
      </c>
    </row>
    <row r="6" spans="1:13" x14ac:dyDescent="0.25">
      <c r="A6">
        <v>105</v>
      </c>
      <c r="B6" t="s">
        <v>21</v>
      </c>
      <c r="C6">
        <v>220</v>
      </c>
      <c r="D6">
        <v>210</v>
      </c>
      <c r="E6" t="s">
        <v>14</v>
      </c>
      <c r="F6" t="str">
        <f t="shared" si="0"/>
        <v>YES</v>
      </c>
      <c r="G6" t="str">
        <f t="shared" si="1"/>
        <v>eligible</v>
      </c>
      <c r="H6" s="4">
        <f t="shared" si="2"/>
        <v>0.1</v>
      </c>
      <c r="I6">
        <f t="shared" si="3"/>
        <v>22</v>
      </c>
      <c r="J6" t="str">
        <f t="shared" si="4"/>
        <v>excellent</v>
      </c>
      <c r="K6" t="str">
        <f t="shared" si="5"/>
        <v>high</v>
      </c>
      <c r="L6" s="6">
        <f t="shared" si="6"/>
        <v>500</v>
      </c>
      <c r="M6" t="str">
        <f t="shared" si="7"/>
        <v>YES</v>
      </c>
    </row>
    <row r="7" spans="1:13" x14ac:dyDescent="0.25">
      <c r="A7">
        <v>106</v>
      </c>
      <c r="B7" t="s">
        <v>22</v>
      </c>
      <c r="C7">
        <v>130</v>
      </c>
      <c r="D7">
        <v>160</v>
      </c>
      <c r="E7" t="s">
        <v>16</v>
      </c>
      <c r="F7" t="str">
        <f t="shared" si="0"/>
        <v>NO</v>
      </c>
      <c r="G7" t="str">
        <f t="shared" si="1"/>
        <v>noteligible</v>
      </c>
      <c r="H7" s="4">
        <f t="shared" si="2"/>
        <v>0.05</v>
      </c>
      <c r="I7">
        <f t="shared" si="3"/>
        <v>6.5</v>
      </c>
      <c r="J7" t="str">
        <f t="shared" si="4"/>
        <v>need improvement</v>
      </c>
      <c r="K7" t="str">
        <f t="shared" si="5"/>
        <v>medium</v>
      </c>
      <c r="L7" s="6">
        <f t="shared" si="6"/>
        <v>300</v>
      </c>
      <c r="M7" t="str">
        <f t="shared" si="7"/>
        <v>NO</v>
      </c>
    </row>
    <row r="10" spans="1:13" x14ac:dyDescent="0.25">
      <c r="A10" t="s">
        <v>26</v>
      </c>
    </row>
    <row r="11" spans="1:13" x14ac:dyDescent="0.25">
      <c r="A11" t="s">
        <v>23</v>
      </c>
    </row>
    <row r="12" spans="1:13" x14ac:dyDescent="0.25">
      <c r="A12" t="s">
        <v>24</v>
      </c>
    </row>
    <row r="13" spans="1:13" x14ac:dyDescent="0.25">
      <c r="A13" t="s">
        <v>25</v>
      </c>
    </row>
    <row r="14" spans="1:13" ht="17.100000000000001" customHeight="1" x14ac:dyDescent="0.25">
      <c r="A14" s="3" t="s">
        <v>30</v>
      </c>
      <c r="B14" s="3"/>
      <c r="C14" s="3"/>
      <c r="D14" s="3"/>
      <c r="E14" s="3"/>
      <c r="F14" s="3"/>
      <c r="G14" s="3"/>
      <c r="H14" s="3"/>
      <c r="I14" s="3"/>
      <c r="J14" s="3"/>
    </row>
    <row r="15" spans="1:13" ht="16.5" customHeight="1" x14ac:dyDescent="0.25">
      <c r="A15" s="2" t="s">
        <v>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t="s">
        <v>27</v>
      </c>
    </row>
    <row r="17" spans="1:1" x14ac:dyDescent="0.25">
      <c r="A17" t="s">
        <v>28</v>
      </c>
    </row>
  </sheetData>
  <mergeCells count="2">
    <mergeCell ref="A15:M15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2026-05-20T11:39:18Z</dcterms:created>
  <dcterms:modified xsi:type="dcterms:W3CDTF">2026-05-21T07:19:32Z</dcterms:modified>
</cp:coreProperties>
</file>